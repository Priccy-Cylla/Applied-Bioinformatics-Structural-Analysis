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ame Kraba\PERSONAL\Bioinformatics Training\Internship\NCBI\Assignment 02\"/>
    </mc:Choice>
  </mc:AlternateContent>
  <xr:revisionPtr revIDLastSave="0" documentId="13_ncr:9_{7674DF65-0B03-4406-BBA9-D6B9B06BED62}" xr6:coauthVersionLast="47" xr6:coauthVersionMax="47" xr10:uidLastSave="{00000000-0000-0000-0000-000000000000}"/>
  <bookViews>
    <workbookView xWindow="-110" yWindow="-110" windowWidth="19420" windowHeight="10300" xr2:uid="{4413927B-4A57-457A-A5E0-00433FFA49EE}"/>
  </bookViews>
  <sheets>
    <sheet name="NM_001126112 - BLASTn Table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<sst xmlns="http://schemas.openxmlformats.org/spreadsheetml/2006/main" count="26" uniqueCount="12">
  <si>
    <t>Homo sapiens</t>
  </si>
  <si>
    <t>Pan troglodytes</t>
  </si>
  <si>
    <t>Gorilla gorilla gorilla</t>
  </si>
  <si>
    <t>Pan paniscus</t>
  </si>
  <si>
    <t>Pongo abelii</t>
  </si>
  <si>
    <t>Pongo pygmaeus</t>
  </si>
  <si>
    <t xml:space="preserve">		</t>
  </si>
  <si>
    <t>Sr. No.</t>
  </si>
  <si>
    <t>Organism</t>
  </si>
  <si>
    <t>Accession ID</t>
  </si>
  <si>
    <t>Percent Identity</t>
  </si>
  <si>
    <t>Query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</si>
</sst>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4" tint="-0.249977111117893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/>
    <xf numFmtId="0" fontId="19" fillId="0" borderId="0" xfId="0" applyFont="1"/>
    <xf numFmtId="9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B7FB-BDCA-4008-BF93-7C86AA9B0972}">
  <dimension ref="A1:E25"/>
  <sheetViews>
    <sheetView tabSelected="1" workbookViewId="0">
      <selection activeCell="I1" sqref="I1"/>
    </sheetView>
  </sheetViews>
  <sheetFormatPr defaultRowHeight="15.5" x14ac:dyDescent="0.35"/>
  <cols>
    <col min="1" max="1" width="7.81640625" style="4" customWidth="1"/>
    <col min="2" max="2" width="21.81640625" style="4" customWidth="1"/>
    <col min="3" max="4" width="19.26953125" style="4" customWidth="1"/>
    <col min="5" max="5" width="19" style="4" customWidth="1"/>
    <col min="6" max="16384" width="8.7265625" style="4"/>
  </cols>
  <sheetData>
    <row r="1" spans="1:5" s="1" customFormat="1" ht="17.5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3" spans="1:5" x14ac:dyDescent="0.35">
      <c r="A3" s="2">
        <v>1</v>
      </c>
      <c r="B3" s="3" t="s">
        <v>0</v>
      </c>
      <c r="C3" s="4" t="str">
        <f>HYPERLINK("https://www.ncbi.nlm.nih.gov/nucleotide/NM_001276761.3?report=genbank&amp;log$=nucltop&amp;blast_rank=1&amp;RID=6CHK4Z9S014","NM_001276761.3")</f>
        <v>NM_001276761.3</v>
      </c>
      <c r="D3" s="4">
        <v>100</v>
      </c>
      <c r="E3" s="5">
        <v>1</v>
      </c>
    </row>
    <row r="4" spans="1:5" x14ac:dyDescent="0.35">
      <c r="A4" s="2">
        <v>2</v>
      </c>
      <c r="B4" s="3" t="s">
        <v>0</v>
      </c>
      <c r="C4" s="4" t="str">
        <f>HYPERLINK("https://www.ncbi.nlm.nih.gov/nucleotide/HG975427.1?report=genbank&amp;log$=nucltop&amp;blast_rank=2&amp;RID=6CHK4Z9S014","HG975427.1")</f>
        <v>HG975427.1</v>
      </c>
      <c r="D4" s="4">
        <v>99.88</v>
      </c>
      <c r="E4" s="5">
        <v>1</v>
      </c>
    </row>
    <row r="5" spans="1:5" x14ac:dyDescent="0.35">
      <c r="A5" s="2">
        <v>3</v>
      </c>
      <c r="B5" s="3" t="s">
        <v>0</v>
      </c>
      <c r="C5" s="4" t="str">
        <f>HYPERLINK("https://www.ncbi.nlm.nih.gov/nucleotide/NM_000546.6?report=genbank&amp;log$=nucltop&amp;blast_rank=3&amp;RID=6CHK4Z9S014","NM_000546.6")</f>
        <v>NM_000546.6</v>
      </c>
      <c r="D5" s="4">
        <v>99.88</v>
      </c>
      <c r="E5" s="5">
        <v>1</v>
      </c>
    </row>
    <row r="6" spans="1:5" x14ac:dyDescent="0.35">
      <c r="A6" s="2">
        <v>4</v>
      </c>
      <c r="B6" s="3" t="s">
        <v>0</v>
      </c>
      <c r="C6" s="4" t="str">
        <f>HYPERLINK("https://www.ncbi.nlm.nih.gov/nucleotide/AF307851.1?report=genbank&amp;log$=nucltop&amp;blast_rank=4&amp;RID=6CHK4Z9S014","AF307851.1")</f>
        <v>AF307851.1</v>
      </c>
      <c r="D6" s="4">
        <v>99.76</v>
      </c>
      <c r="E6" s="5">
        <v>1</v>
      </c>
    </row>
    <row r="7" spans="1:5" x14ac:dyDescent="0.35">
      <c r="A7" s="2">
        <v>5</v>
      </c>
      <c r="B7" s="3" t="s">
        <v>0</v>
      </c>
      <c r="C7" s="4" t="str">
        <f>HYPERLINK("https://www.ncbi.nlm.nih.gov/nucleotide/BC003596.1?report=genbank&amp;log$=nucltop&amp;blast_rank=5&amp;RID=6CHK4Z9S014","BC003596.1")</f>
        <v>BC003596.1</v>
      </c>
      <c r="D7" s="4">
        <v>99.76</v>
      </c>
      <c r="E7" s="5">
        <v>0.99</v>
      </c>
    </row>
    <row r="8" spans="1:5" x14ac:dyDescent="0.35">
      <c r="A8" s="2">
        <v>6</v>
      </c>
      <c r="B8" s="3" t="s">
        <v>1</v>
      </c>
      <c r="C8" s="4" t="str">
        <f>HYPERLINK("https://www.ncbi.nlm.nih.gov/nucleotide/XM_001172077.6?report=genbank&amp;log$=nucltop&amp;blast_rank=6&amp;RID=6CHK4Z9S014","XM_001172077.6")</f>
        <v>XM_001172077.6</v>
      </c>
      <c r="D8" s="4">
        <v>99.24</v>
      </c>
      <c r="E8" s="5">
        <v>1</v>
      </c>
    </row>
    <row r="9" spans="1:5" x14ac:dyDescent="0.35">
      <c r="A9" s="2">
        <v>7</v>
      </c>
      <c r="B9" s="3" t="s">
        <v>2</v>
      </c>
      <c r="C9" s="4" t="str">
        <f>HYPERLINK("https://www.ncbi.nlm.nih.gov/nucleotide/XM_004058511.5?report=genbank&amp;log$=nucltop&amp;blast_rank=7&amp;RID=6CHK4Z9S014","XM_004058511.5")</f>
        <v>XM_004058511.5</v>
      </c>
      <c r="D9" s="4">
        <v>99.24</v>
      </c>
      <c r="E9" s="5">
        <v>1</v>
      </c>
    </row>
    <row r="10" spans="1:5" x14ac:dyDescent="0.35">
      <c r="A10" s="2">
        <v>8</v>
      </c>
      <c r="B10" s="3" t="s">
        <v>3</v>
      </c>
      <c r="C10" s="4" t="str">
        <f>HYPERLINK("https://www.ncbi.nlm.nih.gov/nucleotide/XM_003810066.5?report=genbank&amp;log$=nucltop&amp;blast_rank=8&amp;RID=6CHK4Z9S014","XM_003810066.5")</f>
        <v>XM_003810066.5</v>
      </c>
      <c r="D10" s="4">
        <v>99.08</v>
      </c>
      <c r="E10" s="5">
        <v>1</v>
      </c>
    </row>
    <row r="11" spans="1:5" x14ac:dyDescent="0.35">
      <c r="A11" s="2">
        <v>9</v>
      </c>
      <c r="B11" s="3" t="s">
        <v>0</v>
      </c>
      <c r="C11" s="4" t="str">
        <f>HYPERLINK("https://www.ncbi.nlm.nih.gov/nucleotide/DQ191317.1?report=genbank&amp;log$=nucltop&amp;blast_rank=9&amp;RID=6CHK4Z9S014","DQ191317.1")</f>
        <v>DQ191317.1</v>
      </c>
      <c r="D11" s="4">
        <v>98.97</v>
      </c>
      <c r="E11" s="5">
        <v>1</v>
      </c>
    </row>
    <row r="12" spans="1:5" x14ac:dyDescent="0.35">
      <c r="A12" s="2">
        <v>10</v>
      </c>
      <c r="B12" s="3" t="s">
        <v>0</v>
      </c>
      <c r="C12" s="4" t="str">
        <f>HYPERLINK("https://www.ncbi.nlm.nih.gov/nucleotide/FJ207420.1?report=genbank&amp;log$=nucltop&amp;blast_rank=10&amp;RID=6CHK4Z9S014","FJ207420.1")</f>
        <v>FJ207420.1</v>
      </c>
      <c r="D12" s="4">
        <v>98.97</v>
      </c>
      <c r="E12" s="5">
        <v>1</v>
      </c>
    </row>
    <row r="13" spans="1:5" x14ac:dyDescent="0.35">
      <c r="A13" s="2">
        <v>11</v>
      </c>
      <c r="B13" s="3" t="s">
        <v>0</v>
      </c>
      <c r="C13" s="4" t="str">
        <f>HYPERLINK("https://www.ncbi.nlm.nih.gov/nucleotide/DQ286964.1?report=genbank&amp;log$=nucltop&amp;blast_rank=11&amp;RID=6CHK4Z9S014","DQ286964.1")</f>
        <v>DQ286964.1</v>
      </c>
      <c r="D13" s="4">
        <v>98.97</v>
      </c>
      <c r="E13" s="5">
        <v>1</v>
      </c>
    </row>
    <row r="14" spans="1:5" x14ac:dyDescent="0.35">
      <c r="A14" s="2">
        <v>12</v>
      </c>
      <c r="B14" s="3" t="s">
        <v>0</v>
      </c>
      <c r="C14" s="4" t="str">
        <f>HYPERLINK("https://www.ncbi.nlm.nih.gov/nucleotide/AB082923.1?report=genbank&amp;log$=nucltop&amp;blast_rank=12&amp;RID=6CHK4Z9S014","AB082923.1")</f>
        <v>AB082923.1</v>
      </c>
      <c r="D14" s="4">
        <v>99.84</v>
      </c>
      <c r="E14" s="5">
        <v>0.97</v>
      </c>
    </row>
    <row r="15" spans="1:5" x14ac:dyDescent="0.35">
      <c r="A15" s="2">
        <v>13</v>
      </c>
      <c r="B15" s="3" t="s">
        <v>0</v>
      </c>
      <c r="C15" s="4" t="str">
        <f>HYPERLINK("https://www.ncbi.nlm.nih.gov/nucleotide/NM_001407265.1?report=genbank&amp;log$=nucltop&amp;blast_rank=13&amp;RID=6CHK4Z9S014","NM_001407265.1")</f>
        <v>NM_001407265.1</v>
      </c>
      <c r="D15" s="4">
        <v>100</v>
      </c>
      <c r="E15" s="5">
        <v>0.95</v>
      </c>
    </row>
    <row r="16" spans="1:5" x14ac:dyDescent="0.35">
      <c r="A16" s="2">
        <v>14</v>
      </c>
      <c r="B16" s="3" t="s">
        <v>0</v>
      </c>
      <c r="C16" s="4" t="str">
        <f>HYPERLINK("https://www.ncbi.nlm.nih.gov/nucleotide/NM_001407266.1?report=genbank&amp;log$=nucltop&amp;blast_rank=14&amp;RID=6CHK4Z9S014","NM_001407266.1")</f>
        <v>NM_001407266.1</v>
      </c>
      <c r="D16" s="4">
        <v>100</v>
      </c>
      <c r="E16" s="5">
        <v>0.95</v>
      </c>
    </row>
    <row r="17" spans="1:5" x14ac:dyDescent="0.35">
      <c r="A17" s="2">
        <v>15</v>
      </c>
      <c r="B17" s="3" t="s">
        <v>0</v>
      </c>
      <c r="C17" s="4" t="str">
        <f>HYPERLINK("https://www.ncbi.nlm.nih.gov/nucleotide/NM_001407262.1?report=genbank&amp;log$=nucltop&amp;blast_rank=15&amp;RID=6CHK4Z9S014","NM_001407262.1")</f>
        <v>NM_001407262.1</v>
      </c>
      <c r="D17" s="4">
        <v>100</v>
      </c>
      <c r="E17" s="5">
        <v>1</v>
      </c>
    </row>
    <row r="18" spans="1:5" x14ac:dyDescent="0.35">
      <c r="A18" s="2">
        <v>16</v>
      </c>
      <c r="B18" s="3" t="s">
        <v>2</v>
      </c>
      <c r="C18" s="4" t="str">
        <f>HYPERLINK("https://www.ncbi.nlm.nih.gov/nucleotide/XM_063700589.1?report=genbank&amp;log$=nucltop&amp;blast_rank=16&amp;RID=6CHK4Z9S014","XM_063700589.1")</f>
        <v>XM_063700589.1</v>
      </c>
      <c r="D18" s="4">
        <v>99.33</v>
      </c>
      <c r="E18" s="5">
        <v>0.95</v>
      </c>
    </row>
    <row r="19" spans="1:5" x14ac:dyDescent="0.35">
      <c r="A19" s="2">
        <v>17</v>
      </c>
      <c r="B19" s="3" t="s">
        <v>4</v>
      </c>
      <c r="C19" s="4" t="str">
        <f>HYPERLINK("https://www.ncbi.nlm.nih.gov/nucleotide/XM_002826974.6?report=genbank&amp;log$=nucltop&amp;blast_rank=17&amp;RID=6CHK4Z9S014","XM_002826974.6")</f>
        <v>XM_002826974.6</v>
      </c>
      <c r="D19" s="4">
        <v>97.65</v>
      </c>
      <c r="E19" s="5">
        <v>1</v>
      </c>
    </row>
    <row r="20" spans="1:5" x14ac:dyDescent="0.35">
      <c r="A20" s="2">
        <v>18</v>
      </c>
      <c r="B20" s="3" t="s">
        <v>5</v>
      </c>
      <c r="C20" s="4" t="str">
        <f>HYPERLINK("https://www.ncbi.nlm.nih.gov/nucleotide/XM_054457336.2?report=genbank&amp;log$=nucltop&amp;blast_rank=18&amp;RID=6CHK4Z9S014","XM_054457336.2")</f>
        <v>XM_054457336.2</v>
      </c>
      <c r="D20" s="4">
        <v>97.53</v>
      </c>
      <c r="E20" s="5">
        <v>1</v>
      </c>
    </row>
    <row r="21" spans="1:5" x14ac:dyDescent="0.35">
      <c r="A21" s="2">
        <v>19</v>
      </c>
      <c r="B21" s="3" t="s">
        <v>0</v>
      </c>
      <c r="C21" s="4" t="str">
        <f>HYPERLINK("https://www.ncbi.nlm.nih.gov/nucleotide/NM_001126118.2?report=genbank&amp;log$=nucltop&amp;blast_rank=19&amp;RID=6CHK4Z9S014","NM_001126118.2")</f>
        <v>NM_001126118.2</v>
      </c>
      <c r="D21" s="4">
        <v>100</v>
      </c>
      <c r="E21" s="5">
        <v>1</v>
      </c>
    </row>
    <row r="22" spans="1:5" x14ac:dyDescent="0.35">
      <c r="A22" s="2">
        <v>20</v>
      </c>
      <c r="B22" s="3" t="s">
        <v>0</v>
      </c>
      <c r="C22" s="4" t="str">
        <f>HYPERLINK("https://www.ncbi.nlm.nih.gov/nucleotide/JN900492.1?report=genbank&amp;log$=nucltop&amp;blast_rank=20&amp;RID=6CHK4Z9S014","JN900492.1")</f>
        <v>JN900492.1</v>
      </c>
      <c r="D22" s="4">
        <v>100</v>
      </c>
      <c r="E22" s="5">
        <v>1</v>
      </c>
    </row>
    <row r="25" spans="1:5" x14ac:dyDescent="0.35">
      <c r="A2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NM_001126112 - BLASTn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Priscilla Obeng-Amoako</cp:lastModifiedBy>
  <dcterms:created xsi:type="dcterms:W3CDTF">2026-07-26T19:01:44Z</dcterms:created>
  <dcterms:modified xsi:type="dcterms:W3CDTF">2026-07-26T19:12:22Z</dcterms:modified>
</cp:coreProperties>
</file>