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ame Kraba\PERSONAL\Bioinformatics Training\Internship\NCBI\Assignment 02\"/>
    </mc:Choice>
  </mc:AlternateContent>
  <xr:revisionPtr revIDLastSave="0" documentId="13_ncr:9_{C428529F-7C16-469C-86D2-40FBBB89EBD0}" xr6:coauthVersionLast="47" xr6:coauthVersionMax="47" xr10:uidLastSave="{00000000-0000-0000-0000-000000000000}"/>
  <bookViews>
    <workbookView xWindow="-110" yWindow="-110" windowWidth="19420" windowHeight="10300" xr2:uid="{FD9CD4B7-B32B-4FE1-BB40-063656D4980C}"/>
  </bookViews>
  <sheets>
    <sheet name="P69905 - BLASTp Table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<sst xmlns="http://schemas.openxmlformats.org/spreadsheetml/2006/main" count="26" uniqueCount="25">
  <si>
    <t>Homo sapiens</t>
  </si>
  <si>
    <t>Trachypithecus francoisi</t>
  </si>
  <si>
    <t>Simiiformes</t>
  </si>
  <si>
    <t>Saguinus oedipus</t>
  </si>
  <si>
    <t>Nycticebus coucang</t>
  </si>
  <si>
    <t>cellular organisms</t>
  </si>
  <si>
    <t>Boreoeutheria</t>
  </si>
  <si>
    <t>Chiroptera</t>
  </si>
  <si>
    <t>Glires</t>
  </si>
  <si>
    <t>Papio hamadryas</t>
  </si>
  <si>
    <t>Rhinolophoidea</t>
  </si>
  <si>
    <t>Rhinolophus trifoliatus</t>
  </si>
  <si>
    <t>Rodentia</t>
  </si>
  <si>
    <t>Lemuriformes</t>
  </si>
  <si>
    <t>Pipistrellus hanaki</t>
  </si>
  <si>
    <t>Miniopterus</t>
  </si>
  <si>
    <t>Tadarida brasiliensis</t>
  </si>
  <si>
    <t>Pecora</t>
  </si>
  <si>
    <t>Perissodactyla</t>
  </si>
  <si>
    <t xml:space="preserve">		</t>
  </si>
  <si>
    <t>Sr. No.</t>
  </si>
  <si>
    <t>Organism</t>
  </si>
  <si>
    <t>Percent Identity</t>
  </si>
  <si>
    <t>Query Coverage</t>
  </si>
  <si>
    <t>Protein Accession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</si>
</sst>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4" tint="-0.249977111117893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9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3F0C-9DE4-4EF5-A449-7C5AC91CA38F}">
  <dimension ref="A1:E25"/>
  <sheetViews>
    <sheetView tabSelected="1" workbookViewId="0">
      <selection activeCell="H11" sqref="H11"/>
    </sheetView>
  </sheetViews>
  <sheetFormatPr defaultRowHeight="15.5" x14ac:dyDescent="0.35"/>
  <cols>
    <col min="1" max="1" width="8.7265625" style="1"/>
    <col min="2" max="2" width="24.36328125" style="1" customWidth="1"/>
    <col min="3" max="3" width="24.7265625" style="1" customWidth="1"/>
    <col min="4" max="4" width="19.453125" style="1" customWidth="1"/>
    <col min="5" max="5" width="18.90625" style="1" bestFit="1" customWidth="1"/>
    <col min="6" max="16384" width="8.7265625" style="1"/>
  </cols>
  <sheetData>
    <row r="1" spans="1:5" s="4" customFormat="1" ht="17.5" x14ac:dyDescent="0.35">
      <c r="A1" s="4" t="s">
        <v>20</v>
      </c>
      <c r="B1" s="4" t="s">
        <v>21</v>
      </c>
      <c r="C1" s="4" t="s">
        <v>24</v>
      </c>
      <c r="D1" s="4" t="s">
        <v>22</v>
      </c>
      <c r="E1" s="4" t="s">
        <v>23</v>
      </c>
    </row>
    <row r="3" spans="1:5" x14ac:dyDescent="0.35">
      <c r="A3" s="2">
        <v>1</v>
      </c>
      <c r="B3" s="5" t="s">
        <v>0</v>
      </c>
      <c r="C3" s="1" t="str">
        <f>HYPERLINK("https://www.ncbi.nlm.nih.gov/protein/1ABW_A?report=genbank&amp;log$=prottop&amp;blast_rank=1&amp;RID=6CJYYBXF016","1ABW_A")</f>
        <v>1ABW_A</v>
      </c>
      <c r="D3" s="1">
        <v>100</v>
      </c>
      <c r="E3" s="3">
        <v>0.99</v>
      </c>
    </row>
    <row r="4" spans="1:5" x14ac:dyDescent="0.35">
      <c r="A4" s="2">
        <v>2</v>
      </c>
      <c r="B4" s="5" t="s">
        <v>1</v>
      </c>
      <c r="C4" s="1" t="str">
        <f>HYPERLINK("https://www.ncbi.nlm.nih.gov/protein/XP_033092340.1?report=genbank&amp;log$=prottop&amp;blast_rank=2&amp;RID=6CJYYBXF016","XP_033092340.1")</f>
        <v>XP_033092340.1</v>
      </c>
      <c r="D4" s="1">
        <v>97.18</v>
      </c>
      <c r="E4" s="3">
        <v>1</v>
      </c>
    </row>
    <row r="5" spans="1:5" x14ac:dyDescent="0.35">
      <c r="A5" s="2">
        <v>3</v>
      </c>
      <c r="B5" s="5" t="s">
        <v>2</v>
      </c>
      <c r="C5" s="1" t="str">
        <f>HYPERLINK("https://www.ncbi.nlm.nih.gov/protein/SAI82172.1?report=genbank&amp;log$=prottop&amp;blast_rank=3&amp;RID=6CJYYBXF016","SAI82172.1")</f>
        <v>SAI82172.1</v>
      </c>
      <c r="D5" s="1">
        <v>96.48</v>
      </c>
      <c r="E5" s="3">
        <v>1</v>
      </c>
    </row>
    <row r="6" spans="1:5" x14ac:dyDescent="0.35">
      <c r="A6" s="2">
        <v>4</v>
      </c>
      <c r="B6" s="5" t="s">
        <v>3</v>
      </c>
      <c r="C6" s="1" t="str">
        <f>HYPERLINK("https://www.ncbi.nlm.nih.gov/protein/KAK2086208.1?report=genbank&amp;log$=prottop&amp;blast_rank=4&amp;RID=6CJYYBXF016","KAK2086208.1")</f>
        <v>KAK2086208.1</v>
      </c>
      <c r="D6" s="1">
        <v>94.37</v>
      </c>
      <c r="E6" s="3">
        <v>1</v>
      </c>
    </row>
    <row r="7" spans="1:5" x14ac:dyDescent="0.35">
      <c r="A7" s="2">
        <v>5</v>
      </c>
      <c r="B7" s="5" t="s">
        <v>4</v>
      </c>
      <c r="C7" s="1" t="str">
        <f>HYPERLINK("https://www.ncbi.nlm.nih.gov/protein/XP_053412047.1?report=genbank&amp;log$=prottop&amp;blast_rank=5&amp;RID=6CJYYBXF016","XP_053412047.1")</f>
        <v>XP_053412047.1</v>
      </c>
      <c r="D7" s="1">
        <v>93.66</v>
      </c>
      <c r="E7" s="3">
        <v>1</v>
      </c>
    </row>
    <row r="8" spans="1:5" x14ac:dyDescent="0.35">
      <c r="A8" s="2">
        <v>6</v>
      </c>
      <c r="B8" s="5" t="s">
        <v>5</v>
      </c>
      <c r="C8" s="1" t="str">
        <f>HYPERLINK("https://www.ncbi.nlm.nih.gov/protein/WP_185150429.1?report=genbank&amp;log$=prottop&amp;blast_rank=6&amp;RID=6CJYYBXF016","WP_185150429.1")</f>
        <v>WP_185150429.1</v>
      </c>
      <c r="D8" s="1">
        <v>90.85</v>
      </c>
      <c r="E8" s="3">
        <v>1</v>
      </c>
    </row>
    <row r="9" spans="1:5" x14ac:dyDescent="0.35">
      <c r="A9" s="2">
        <v>7</v>
      </c>
      <c r="B9" s="5" t="s">
        <v>0</v>
      </c>
      <c r="C9" s="1" t="str">
        <f>HYPERLINK("https://www.ncbi.nlm.nih.gov/protein/AQN67653.1?report=genbank&amp;log$=prottop&amp;blast_rank=7&amp;RID=6CJYYBXF016","AQN67653.1")</f>
        <v>AQN67653.1</v>
      </c>
      <c r="D9" s="1">
        <v>75.94</v>
      </c>
      <c r="E9" s="3">
        <v>1</v>
      </c>
    </row>
    <row r="10" spans="1:5" x14ac:dyDescent="0.35">
      <c r="A10" s="2">
        <v>8</v>
      </c>
      <c r="B10" s="5" t="s">
        <v>6</v>
      </c>
      <c r="C10" s="1" t="str">
        <f>HYPERLINK("https://www.ncbi.nlm.nih.gov/protein/NP_001162287.1?report=genbank&amp;log$=prottop&amp;blast_rank=8&amp;RID=6CJYYBXF016","NP_001162287.1")</f>
        <v>NP_001162287.1</v>
      </c>
      <c r="D10" s="1">
        <v>92.25</v>
      </c>
      <c r="E10" s="3">
        <v>1</v>
      </c>
    </row>
    <row r="11" spans="1:5" x14ac:dyDescent="0.35">
      <c r="A11" s="2">
        <v>9</v>
      </c>
      <c r="B11" s="5" t="s">
        <v>7</v>
      </c>
      <c r="C11" s="1" t="str">
        <f>HYPERLINK("https://www.ncbi.nlm.nih.gov/protein/XP_070269501.1?report=genbank&amp;log$=prottop&amp;blast_rank=9&amp;RID=6CJYYBXF016","XP_070269501.1")</f>
        <v>XP_070269501.1</v>
      </c>
      <c r="D11" s="1">
        <v>88.73</v>
      </c>
      <c r="E11" s="3">
        <v>1</v>
      </c>
    </row>
    <row r="12" spans="1:5" x14ac:dyDescent="0.35">
      <c r="A12" s="2">
        <v>10</v>
      </c>
      <c r="B12" s="5" t="s">
        <v>8</v>
      </c>
      <c r="C12" s="1" t="str">
        <f>HYPERLINK("https://www.ncbi.nlm.nih.gov/protein/AFX00018.1?report=genbank&amp;log$=prottop&amp;blast_rank=10&amp;RID=6CJYYBXF016","AFX00018.1")</f>
        <v>AFX00018.1</v>
      </c>
      <c r="D12" s="1">
        <v>89.44</v>
      </c>
      <c r="E12" s="3">
        <v>1</v>
      </c>
    </row>
    <row r="13" spans="1:5" x14ac:dyDescent="0.35">
      <c r="A13" s="2">
        <v>11</v>
      </c>
      <c r="B13" s="5" t="s">
        <v>9</v>
      </c>
      <c r="C13" s="1" t="str">
        <f>HYPERLINK("https://www.ncbi.nlm.nih.gov/protein/SAI82176.1?report=genbank&amp;log$=prottop&amp;blast_rank=11&amp;RID=6CJYYBXF016","SAI82176.1")</f>
        <v>SAI82176.1</v>
      </c>
      <c r="D13" s="1">
        <v>92.25</v>
      </c>
      <c r="E13" s="3">
        <v>1</v>
      </c>
    </row>
    <row r="14" spans="1:5" x14ac:dyDescent="0.35">
      <c r="A14" s="2">
        <v>12</v>
      </c>
      <c r="B14" s="5" t="s">
        <v>10</v>
      </c>
      <c r="C14" s="1" t="str">
        <f>HYPERLINK("https://www.ncbi.nlm.nih.gov/protein/XP_032956912.1?report=genbank&amp;log$=prottop&amp;blast_rank=12&amp;RID=6CJYYBXF016","XP_032956912.1")</f>
        <v>XP_032956912.1</v>
      </c>
      <c r="D14" s="1">
        <v>87.32</v>
      </c>
      <c r="E14" s="3">
        <v>1</v>
      </c>
    </row>
    <row r="15" spans="1:5" x14ac:dyDescent="0.35">
      <c r="A15" s="2">
        <v>13</v>
      </c>
      <c r="B15" s="5" t="s">
        <v>11</v>
      </c>
      <c r="C15" s="1" t="str">
        <f>HYPERLINK("https://www.ncbi.nlm.nih.gov/protein/KAN3457899.1?report=genbank&amp;log$=prottop&amp;blast_rank=13&amp;RID=6CJYYBXF016","KAN3457899.1")</f>
        <v>KAN3457899.1</v>
      </c>
      <c r="D15" s="1">
        <v>87.32</v>
      </c>
      <c r="E15" s="3">
        <v>1</v>
      </c>
    </row>
    <row r="16" spans="1:5" x14ac:dyDescent="0.35">
      <c r="A16" s="2">
        <v>14</v>
      </c>
      <c r="B16" s="5" t="s">
        <v>12</v>
      </c>
      <c r="C16" s="1" t="str">
        <f>HYPERLINK("https://www.ncbi.nlm.nih.gov/protein/NP_001077424.1?report=genbank&amp;log$=prottop&amp;blast_rank=14&amp;RID=6CJYYBXF016","NP_001077424.1")</f>
        <v>NP_001077424.1</v>
      </c>
      <c r="D16" s="1">
        <v>86.62</v>
      </c>
      <c r="E16" s="3">
        <v>1</v>
      </c>
    </row>
    <row r="17" spans="1:5" x14ac:dyDescent="0.35">
      <c r="A17" s="2">
        <v>15</v>
      </c>
      <c r="B17" s="5" t="s">
        <v>13</v>
      </c>
      <c r="C17" s="1" t="str">
        <f>HYPERLINK("https://www.ncbi.nlm.nih.gov/protein/P20019.1?report=genbank&amp;log$=prottop&amp;blast_rank=15&amp;RID=6CJYYBXF016","P20019.1")</f>
        <v>P20019.1</v>
      </c>
      <c r="D17" s="1">
        <v>87.94</v>
      </c>
      <c r="E17" s="3">
        <v>0.99</v>
      </c>
    </row>
    <row r="18" spans="1:5" x14ac:dyDescent="0.35">
      <c r="A18" s="2">
        <v>16</v>
      </c>
      <c r="B18" s="5" t="s">
        <v>14</v>
      </c>
      <c r="C18" s="1" t="str">
        <f>HYPERLINK("https://www.ncbi.nlm.nih.gov/protein/XP_084736647.1?report=genbank&amp;log$=prottop&amp;blast_rank=16&amp;RID=6CJYYBXF016","XP_084736647.1")</f>
        <v>XP_084736647.1</v>
      </c>
      <c r="D18" s="1">
        <v>87.32</v>
      </c>
      <c r="E18" s="3">
        <v>1</v>
      </c>
    </row>
    <row r="19" spans="1:5" x14ac:dyDescent="0.35">
      <c r="A19" s="2">
        <v>17</v>
      </c>
      <c r="B19" s="5" t="s">
        <v>15</v>
      </c>
      <c r="C19" s="1" t="str">
        <f>HYPERLINK("https://www.ncbi.nlm.nih.gov/protein/XP_016071731.1?report=genbank&amp;log$=prottop&amp;blast_rank=17&amp;RID=6CJYYBXF016","XP_016071731.1")</f>
        <v>XP_016071731.1</v>
      </c>
      <c r="D19" s="1">
        <v>86.62</v>
      </c>
      <c r="E19" s="3">
        <v>1</v>
      </c>
    </row>
    <row r="20" spans="1:5" x14ac:dyDescent="0.35">
      <c r="A20" s="2">
        <v>18</v>
      </c>
      <c r="B20" s="5" t="s">
        <v>16</v>
      </c>
      <c r="C20" s="1" t="str">
        <f>HYPERLINK("https://www.ncbi.nlm.nih.gov/protein/KAN3777413.1?report=genbank&amp;log$=prottop&amp;blast_rank=18&amp;RID=6CJYYBXF016","KAN3777413.1")</f>
        <v>KAN3777413.1</v>
      </c>
      <c r="D20" s="1">
        <v>87.32</v>
      </c>
      <c r="E20" s="3">
        <v>1</v>
      </c>
    </row>
    <row r="21" spans="1:5" x14ac:dyDescent="0.35">
      <c r="A21" s="2">
        <v>19</v>
      </c>
      <c r="B21" s="5" t="s">
        <v>17</v>
      </c>
      <c r="C21" s="1" t="str">
        <f>HYPERLINK("https://www.ncbi.nlm.nih.gov/protein/NP_001070890.2?report=genbank&amp;log$=prottop&amp;blast_rank=19&amp;RID=6CJYYBXF016","NP_001070890.2")</f>
        <v>NP_001070890.2</v>
      </c>
      <c r="D21" s="1">
        <v>88.03</v>
      </c>
      <c r="E21" s="3">
        <v>1</v>
      </c>
    </row>
    <row r="22" spans="1:5" x14ac:dyDescent="0.35">
      <c r="A22" s="2">
        <v>20</v>
      </c>
      <c r="B22" s="5" t="s">
        <v>18</v>
      </c>
      <c r="C22" s="1" t="str">
        <f>HYPERLINK("https://www.ncbi.nlm.nih.gov/protein/P09906.1?report=genbank&amp;log$=prottop&amp;blast_rank=20&amp;RID=6CJYYBXF016","P09906.1")</f>
        <v>P09906.1</v>
      </c>
      <c r="D22" s="1">
        <v>87.23</v>
      </c>
      <c r="E22" s="3">
        <v>0.99</v>
      </c>
    </row>
    <row r="25" spans="1:5" x14ac:dyDescent="0.35">
      <c r="A2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P69905 - BLASTp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Obeng-Amoako</cp:lastModifiedBy>
  <dcterms:created xsi:type="dcterms:W3CDTF">2026-07-26T19:20:02Z</dcterms:created>
  <dcterms:modified xsi:type="dcterms:W3CDTF">2026-07-26T20:28:19Z</dcterms:modified>
</cp:coreProperties>
</file>